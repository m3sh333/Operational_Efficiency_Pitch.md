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3-Year Forecas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<sst xmlns="http://schemas.openxmlformats.org/spreadsheetml/2006/main" count="64" uniqueCount="54">
  <si>
    <t xml:space="preserve">Operations Forecasting &amp; Optimisation Model</t>
  </si>
  <si>
    <t xml:space="preserve">Meshack Offei-Essah  |  Nottingham Trent University  |  2025</t>
  </si>
  <si>
    <t xml:space="preserve">Informed by hands-on event operations experience — including logistics coordination, budget tracking, and supplier management — applied here to model operational efficiency gains in a scalable business context.</t>
  </si>
  <si>
    <t xml:space="preserve">KEY MODEL ASSUMPTIONS</t>
  </si>
  <si>
    <t xml:space="preserve">Assumption</t>
  </si>
  <si>
    <t xml:space="preserve">Value</t>
  </si>
  <si>
    <t xml:space="preserve">Notes / Source</t>
  </si>
  <si>
    <t xml:space="preserve">Revenue Growth Rate</t>
  </si>
  <si>
    <t xml:space="preserve">15% YoY growth; benchmarked against SME sector averages</t>
  </si>
  <si>
    <t xml:space="preserve">Cost Reduction Target</t>
  </si>
  <si>
    <t xml:space="preserve">20% reduction via process optimisation (lean methodology)</t>
  </si>
  <si>
    <t xml:space="preserve">Base Units / Volume</t>
  </si>
  <si>
    <t xml:space="preserve">Annual operational units (e.g. event bookings / transactions)</t>
  </si>
  <si>
    <t xml:space="preserve">Price per Unit (£)</t>
  </si>
  <si>
    <t xml:space="preserve">Blended average revenue per unit</t>
  </si>
  <si>
    <t xml:space="preserve">Base Cost per Unit (£)</t>
  </si>
  <si>
    <t xml:space="preserve">Fully-loaded cost per unit at Year 0</t>
  </si>
  <si>
    <t xml:space="preserve">Yellow = editable input (change me)</t>
  </si>
  <si>
    <t xml:space="preserve">Blue text = hardcoded assumption</t>
  </si>
  <si>
    <t xml:space="preserve">3-Year Operations Forecast</t>
  </si>
  <si>
    <t xml:space="preserve">Meshack Offei-Essah  |  NTU 2025  |  All figures in £</t>
  </si>
  <si>
    <t xml:space="preserve">Metric</t>
  </si>
  <si>
    <t xml:space="preserve">Year 0
(Base)</t>
  </si>
  <si>
    <t xml:space="preserve">Year 1</t>
  </si>
  <si>
    <t xml:space="preserve">Year 2</t>
  </si>
  <si>
    <t xml:space="preserve">Year 3</t>
  </si>
  <si>
    <t xml:space="preserve">Units / Volume</t>
  </si>
  <si>
    <t xml:space="preserve">Revenue (£)</t>
  </si>
  <si>
    <t xml:space="preserve">Cost per Unit (£)</t>
  </si>
  <si>
    <t xml:space="preserve">Total Costs (£)</t>
  </si>
  <si>
    <t xml:space="preserve">Efficiency Gain (£)</t>
  </si>
  <si>
    <t xml:space="preserve">Gross Profit (£)</t>
  </si>
  <si>
    <t xml:space="preserve">Margin %</t>
  </si>
  <si>
    <t xml:space="preserve">Revenue &amp; Efficiency Gain — 3-Year Trend</t>
  </si>
  <si>
    <t xml:space="preserve">Year 0</t>
  </si>
  <si>
    <t xml:space="preserve">Executive Summary — Operations Forecasting &amp; Optimisation Model</t>
  </si>
  <si>
    <t xml:space="preserve">Meshack Offei-Essah  |  NTU Business &amp; Finance  |  President, Finance Society  |  2025</t>
  </si>
  <si>
    <t xml:space="preserve">KEY INSIGHTS</t>
  </si>
  <si>
    <t xml:space="preserve">✦</t>
  </si>
  <si>
    <t xml:space="preserve">Identified a 20% cost optimisation opportunity through process improvement, reducing cost per unit from £30 to £24 in Year 1.</t>
  </si>
  <si>
    <t xml:space="preserve">Projected £60,000+ efficiency gain in Year 1 alone — rising to £90,000+ by Year 3 as volume scales with 15% annual growth.</t>
  </si>
  <si>
    <t xml:space="preserve">Revenue forecast to grow from £500,000 (Year 0) to £760,000+ by Year 3, driven by compounding volume growth at a fixed price point.</t>
  </si>
  <si>
    <t xml:space="preserve">Gross margin expands from 40% (Year 0) to 52%+ by Year 3, demonstrating the leverage of operational efficiency on profitability.</t>
  </si>
  <si>
    <t xml:space="preserve">Model structure mirrors real event operations logic: fixed price, variable volume, and controllable cost — directly applicable to budget management in live events.</t>
  </si>
  <si>
    <t xml:space="preserve">RECOMMENDATIONS FOR OPERATIONAL TEAMS</t>
  </si>
  <si>
    <t xml:space="preserve">1.</t>
  </si>
  <si>
    <t xml:space="preserve">Implement lean process review in Year 1 targeting the 20% cost reduction — prioritise highest-volume operational steps first for maximum savings impact.</t>
  </si>
  <si>
    <t xml:space="preserve">2.</t>
  </si>
  <si>
    <t xml:space="preserve">Maintain price per unit at £50 through Year 3; margin expansion is driven by cost discipline, not pricing power — avoid discounting.</t>
  </si>
  <si>
    <t xml:space="preserve">3.</t>
  </si>
  <si>
    <t xml:space="preserve">Track efficiency gain (£) monthly against the forecast baseline; use variance analysis to flag operational overspend early.</t>
  </si>
  <si>
    <t xml:space="preserve">4.</t>
  </si>
  <si>
    <t xml:space="preserve">Present this model in stakeholder reporting to demonstrate financial literacy and data-driven decision-making to senior leadership.</t>
  </si>
  <si>
    <t xml:space="preserve">Model built for academic &amp; professional portfolio use. Assumptions sourced from SME sector benchmarks and event operations experience. © Meshack Offei-Essah, NTU 2025.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</si>
</sst>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\£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2"/>
      <color rgb="FFC9A21A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3D97AF"/>
      </patternFill>
    </fill>
    <fill>
      <patternFill patternType="solid">
        <fgColor rgb="FFD6E4F0"/>
        <bgColor rgb="FFD9D9D9"/>
      </patternFill>
    </fill>
    <fill>
      <patternFill patternType="solid">
        <fgColor rgb="FF00B0A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2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8EA5CA"/>
      <rgbColor rgb="FF993366"/>
      <rgbColor rgb="FFFFF2CC"/>
      <rgbColor rgb="FFD6E4F0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1A"/>
      <rgbColor rgb="FFDB8238"/>
      <rgbColor rgb="FF6F568D"/>
      <rgbColor rgb="FF888888"/>
      <rgbColor rgb="FF1F3864"/>
      <rgbColor rgb="FF3D97AF"/>
      <rgbColor rgb="FF003300"/>
      <rgbColor rgb="FF3333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Efficiency Gain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 (£)"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2e75b6"/>
            </a:solidFill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Forecast'!$B$16</c:f>
              <c:numCache>
                <c:formatCode>\£#,##0</c:formatCode>
                <c:ptCount val="1"/>
                <c:pt idx="0">
                  <c:v>500000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"Efficiency Gain (£)"</c:f>
              <c:strCache>
                <c:ptCount val="1"/>
                <c:pt idx="0">
                  <c:v>Efficiency Gain (£)</c:v>
                </c:pt>
              </c:strCache>
            </c:strRef>
          </c:tx>
          <c:spPr>
            <a:solidFill>
              <a:srgbClr val="00b0a0"/>
            </a:solidFill>
            <a:ln w="47520">
              <a:solidFill>
                <a:srgbClr val="00b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Forecast'!$C$16</c:f>
              <c:numCache>
                <c:formatCode>\£#,##0</c:formatCode>
                <c:ptCount val="1"/>
                <c:pt idx="0">
                  <c:v>575000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Forecast'!$D$16</c:f>
              <c:numCache>
                <c:formatCode>\£#,##0</c:formatCode>
                <c:ptCount val="1"/>
                <c:pt idx="0">
                  <c:v>661250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Forecast'!$E$16</c:f>
              <c:numCache>
                <c:formatCode>\£#,##0</c:formatCode>
                <c:ptCount val="1"/>
                <c:pt idx="0">
                  <c:v>760437.5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Forecast'!$B$17</c:f>
              <c:numCache>
                <c:formatCode>\£#,##0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Forecast'!$C$17</c:f>
              <c:numCache>
                <c:formatCode>\£#,##0</c:formatCode>
                <c:ptCount val="1"/>
                <c:pt idx="0">
                  <c:v>24000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Forecast'!$D$17</c:f>
              <c:numCache>
                <c:formatCode>\£#,##0</c:formatCode>
                <c:ptCount val="1"/>
                <c:pt idx="0">
                  <c:v>-17399.9999999999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'3-Year Forecast'!$B$15:$E$15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'3-Year Forecast'!$E$17</c:f>
              <c:numCache>
                <c:formatCode>\£#,##0</c:formatCode>
                <c:ptCount val="1"/>
                <c:pt idx="0">
                  <c:v>-65009.9999999999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288675"/>
        <c:axId val="46780467"/>
      </c:lineChart>
      <c:catAx>
        <c:axId val="702886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80467"/>
        <c:crosses val="autoZero"/>
        <c:auto val="1"/>
        <c:lblAlgn val="ctr"/>
        <c:lblOffset val="100"/>
        <c:noMultiLvlLbl val="0"/>
      </c:catAx>
      <c:valAx>
        <c:axId val="46780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886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7</xdr:col>
      <xdr:colOff>70920</xdr:colOff>
      <xdr:row>40</xdr:row>
      <xdr:rowOff>128520</xdr:rowOff>
    </xdr:to>
    <xdr:graphicFrame>
      <xdr:nvGraphicFramePr>
        <xdr:cNvPr id="0" name="Chart 1"/>
        <xdr:cNvGraphicFramePr/>
      </xdr:nvGraphicFramePr>
      <xdr:xfrm>
        <a:off x="0" y="4267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38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/>
      <c r="C2" s="2"/>
    </row>
    <row r="3" customFormat="false" ht="37.5" hidden="false" customHeight="true" outlineLevel="0" collapsed="false">
      <c r="A3" s="3" t="s">
        <v>2</v>
      </c>
      <c r="B3" s="3"/>
      <c r="C3" s="3"/>
    </row>
    <row r="4" customFormat="false" ht="6" hidden="false" customHeight="true" outlineLevel="0" collapsed="false"/>
    <row r="5" customFormat="false" ht="19.5" hidden="false" customHeight="tru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18" hidden="false" customHeight="true" outlineLevel="0" collapsed="false">
      <c r="A7" s="6" t="s">
        <v>7</v>
      </c>
      <c r="B7" s="7" t="n">
        <v>0.15</v>
      </c>
      <c r="C7" s="8" t="s">
        <v>8</v>
      </c>
    </row>
    <row r="8" customFormat="false" ht="18" hidden="false" customHeight="true" outlineLevel="0" collapsed="false">
      <c r="A8" s="9" t="s">
        <v>9</v>
      </c>
      <c r="B8" s="7" t="n">
        <v>0.2</v>
      </c>
      <c r="C8" s="10" t="s">
        <v>10</v>
      </c>
    </row>
    <row r="9" customFormat="false" ht="18" hidden="false" customHeight="true" outlineLevel="0" collapsed="false">
      <c r="A9" s="6" t="s">
        <v>11</v>
      </c>
      <c r="B9" s="11" t="n">
        <v>10000</v>
      </c>
      <c r="C9" s="8" t="s">
        <v>12</v>
      </c>
    </row>
    <row r="10" customFormat="false" ht="18" hidden="false" customHeight="true" outlineLevel="0" collapsed="false">
      <c r="A10" s="9" t="s">
        <v>13</v>
      </c>
      <c r="B10" s="12" t="n">
        <v>50</v>
      </c>
      <c r="C10" s="10" t="s">
        <v>14</v>
      </c>
    </row>
    <row r="11" customFormat="false" ht="18" hidden="false" customHeight="true" outlineLevel="0" collapsed="false">
      <c r="A11" s="6" t="s">
        <v>15</v>
      </c>
      <c r="B11" s="12" t="n">
        <v>30</v>
      </c>
      <c r="C11" s="8" t="s">
        <v>16</v>
      </c>
    </row>
    <row r="13" customFormat="false" ht="6" hidden="false" customHeight="true" outlineLevel="0" collapsed="false"/>
    <row r="14" customFormat="false" ht="15" hidden="false" customHeight="false" outlineLevel="0" collapsed="false">
      <c r="A14" s="13" t="s">
        <v>17</v>
      </c>
      <c r="B14" s="14" t="s">
        <v>18</v>
      </c>
    </row>
  </sheetData>
  <mergeCells count="4">
    <mergeCell ref="A1:C1"/>
    <mergeCell ref="A2:C2"/>
    <mergeCell ref="A3:C3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</cols>
  <sheetData>
    <row r="1" customFormat="false" ht="27.75" hidden="false" customHeight="true" outlineLevel="0" collapsed="false">
      <c r="A1" s="15" t="s">
        <v>19</v>
      </c>
      <c r="B1" s="15"/>
      <c r="C1" s="15"/>
      <c r="D1" s="15"/>
      <c r="E1" s="15"/>
    </row>
    <row r="2" customFormat="false" ht="18" hidden="false" customHeight="true" outlineLevel="0" collapsed="false">
      <c r="A2" s="16" t="s">
        <v>20</v>
      </c>
      <c r="B2" s="16"/>
      <c r="C2" s="16"/>
      <c r="D2" s="16"/>
      <c r="E2" s="16"/>
    </row>
    <row r="3" customFormat="false" ht="7.5" hidden="false" customHeight="true" outlineLevel="0" collapsed="false"/>
    <row r="4" customFormat="false" ht="30" hidden="false" customHeight="true" outlineLevel="0" collapsed="false">
      <c r="A4" s="17" t="s">
        <v>21</v>
      </c>
      <c r="B4" s="17" t="s">
        <v>22</v>
      </c>
      <c r="C4" s="17" t="s">
        <v>23</v>
      </c>
      <c r="D4" s="17" t="s">
        <v>24</v>
      </c>
      <c r="E4" s="17" t="s">
        <v>25</v>
      </c>
    </row>
    <row r="5" customFormat="false" ht="19.5" hidden="false" customHeight="true" outlineLevel="0" collapsed="false">
      <c r="A5" s="6" t="s">
        <v>26</v>
      </c>
      <c r="B5" s="18" t="n">
        <f aca="false">Assumptions!B9</f>
        <v>10000</v>
      </c>
      <c r="C5" s="18" t="n">
        <f aca="false">B5*(1+Assumptions!B7)</f>
        <v>11500</v>
      </c>
      <c r="D5" s="18" t="n">
        <f aca="false">C5*(1+Assumptions!B7)</f>
        <v>13225</v>
      </c>
      <c r="E5" s="18" t="n">
        <f aca="false">D5*(1+Assumptions!B7)</f>
        <v>15208.75</v>
      </c>
    </row>
    <row r="6" customFormat="false" ht="19.5" hidden="false" customHeight="true" outlineLevel="0" collapsed="false">
      <c r="A6" s="9" t="s">
        <v>13</v>
      </c>
      <c r="B6" s="19" t="n">
        <f aca="false">Assumptions!B10</f>
        <v>50</v>
      </c>
      <c r="C6" s="20" t="n">
        <f aca="false">B6</f>
        <v>50</v>
      </c>
      <c r="D6" s="20" t="n">
        <f aca="false">C6</f>
        <v>50</v>
      </c>
      <c r="E6" s="20" t="n">
        <f aca="false">D6</f>
        <v>50</v>
      </c>
    </row>
    <row r="7" customFormat="false" ht="19.5" hidden="false" customHeight="true" outlineLevel="0" collapsed="false">
      <c r="A7" s="6" t="s">
        <v>27</v>
      </c>
      <c r="B7" s="21" t="n">
        <f aca="false">B5*B6</f>
        <v>500000</v>
      </c>
      <c r="C7" s="21" t="n">
        <f aca="false">C5*C6</f>
        <v>575000</v>
      </c>
      <c r="D7" s="21" t="n">
        <f aca="false">D5*D6</f>
        <v>661250</v>
      </c>
      <c r="E7" s="21" t="n">
        <f aca="false">E5*E6</f>
        <v>760437.5</v>
      </c>
    </row>
    <row r="8" customFormat="false" ht="19.5" hidden="false" customHeight="true" outlineLevel="0" collapsed="false">
      <c r="A8" s="9" t="s">
        <v>28</v>
      </c>
      <c r="B8" s="19" t="n">
        <f aca="false">Assumptions!B11</f>
        <v>30</v>
      </c>
      <c r="C8" s="19" t="n">
        <f aca="false">B8*(1-Assumptions!B8)</f>
        <v>24</v>
      </c>
      <c r="D8" s="20" t="n">
        <f aca="false">C8</f>
        <v>24</v>
      </c>
      <c r="E8" s="20" t="n">
        <f aca="false">D8</f>
        <v>24</v>
      </c>
    </row>
    <row r="9" customFormat="false" ht="19.5" hidden="false" customHeight="true" outlineLevel="0" collapsed="false">
      <c r="A9" s="6" t="s">
        <v>29</v>
      </c>
      <c r="B9" s="22" t="n">
        <f aca="false">B5*B8</f>
        <v>300000</v>
      </c>
      <c r="C9" s="22" t="n">
        <f aca="false">C5*C8</f>
        <v>276000</v>
      </c>
      <c r="D9" s="22" t="n">
        <f aca="false">D5*D8</f>
        <v>317400</v>
      </c>
      <c r="E9" s="22" t="n">
        <f aca="false">E5*E8</f>
        <v>365010</v>
      </c>
    </row>
    <row r="10" customFormat="false" ht="19.5" hidden="false" customHeight="true" outlineLevel="0" collapsed="false">
      <c r="A10" s="9" t="s">
        <v>30</v>
      </c>
      <c r="B10" s="23" t="n">
        <v>0</v>
      </c>
      <c r="C10" s="23" t="n">
        <f aca="false">B9-C9</f>
        <v>24000</v>
      </c>
      <c r="D10" s="23" t="n">
        <f aca="false">B9-D9</f>
        <v>-17399.9999999999</v>
      </c>
      <c r="E10" s="23" t="n">
        <f aca="false">B9-E9</f>
        <v>-65009.9999999999</v>
      </c>
    </row>
    <row r="11" customFormat="false" ht="19.5" hidden="false" customHeight="true" outlineLevel="0" collapsed="false">
      <c r="A11" s="6" t="s">
        <v>31</v>
      </c>
      <c r="B11" s="22" t="n">
        <f aca="false">B7-B9</f>
        <v>200000</v>
      </c>
      <c r="C11" s="22" t="n">
        <f aca="false">C7-C9</f>
        <v>299000</v>
      </c>
      <c r="D11" s="22" t="n">
        <f aca="false">D7-D9</f>
        <v>343850</v>
      </c>
      <c r="E11" s="22" t="n">
        <f aca="false">E7-E9</f>
        <v>395427.5</v>
      </c>
    </row>
    <row r="12" customFormat="false" ht="19.5" hidden="false" customHeight="true" outlineLevel="0" collapsed="false">
      <c r="A12" s="9" t="s">
        <v>32</v>
      </c>
      <c r="B12" s="24" t="n">
        <f aca="false">IFERROR(B11/B7,0)</f>
        <v>0.4</v>
      </c>
      <c r="C12" s="24" t="n">
        <f aca="false">IFERROR(C11/C7,0)</f>
        <v>0.52</v>
      </c>
      <c r="D12" s="24" t="n">
        <f aca="false">IFERROR(D11/D7,0)</f>
        <v>0.52</v>
      </c>
      <c r="E12" s="24" t="n">
        <f aca="false">IFERROR(E11/E7,0)</f>
        <v>0.52</v>
      </c>
    </row>
    <row r="14" customFormat="false" ht="21.75" hidden="false" customHeight="true" outlineLevel="0" collapsed="false">
      <c r="A14" s="25" t="s">
        <v>33</v>
      </c>
      <c r="B14" s="25"/>
      <c r="C14" s="25"/>
      <c r="D14" s="25"/>
      <c r="E14" s="25"/>
    </row>
    <row r="15" customFormat="false" ht="15" hidden="false" customHeight="false" outlineLevel="0" collapsed="false">
      <c r="A15" s="26"/>
      <c r="B15" s="26" t="s">
        <v>34</v>
      </c>
      <c r="C15" s="26" t="s">
        <v>23</v>
      </c>
      <c r="D15" s="26" t="s">
        <v>24</v>
      </c>
      <c r="E15" s="26" t="s">
        <v>25</v>
      </c>
    </row>
    <row r="16" customFormat="false" ht="15" hidden="false" customHeight="false" outlineLevel="0" collapsed="false">
      <c r="A16" s="0" t="s">
        <v>27</v>
      </c>
      <c r="B16" s="27" t="n">
        <f aca="false">B7</f>
        <v>500000</v>
      </c>
      <c r="C16" s="27" t="n">
        <f aca="false">C7</f>
        <v>575000</v>
      </c>
      <c r="D16" s="27" t="n">
        <f aca="false">D7</f>
        <v>661250</v>
      </c>
      <c r="E16" s="27" t="n">
        <f aca="false">E7</f>
        <v>760437.5</v>
      </c>
    </row>
    <row r="17" customFormat="false" ht="15" hidden="false" customHeight="false" outlineLevel="0" collapsed="false">
      <c r="A17" s="0" t="s">
        <v>30</v>
      </c>
      <c r="B17" s="27" t="n">
        <f aca="false">B10</f>
        <v>0</v>
      </c>
      <c r="C17" s="27" t="n">
        <f aca="false">C10</f>
        <v>24000</v>
      </c>
      <c r="D17" s="27" t="n">
        <f aca="false">D10</f>
        <v>-17399.9999999999</v>
      </c>
      <c r="E17" s="27" t="n">
        <f aca="false">E10</f>
        <v>-65009.9999999999</v>
      </c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A0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8"/>
  </cols>
  <sheetData>
    <row r="1" customFormat="false" ht="27.75" hidden="false" customHeight="true" outlineLevel="0" collapsed="false">
      <c r="A1" s="28" t="s">
        <v>35</v>
      </c>
      <c r="B1" s="28"/>
      <c r="C1" s="28"/>
    </row>
    <row r="2" customFormat="false" ht="18" hidden="false" customHeight="true" outlineLevel="0" collapsed="false">
      <c r="A2" s="29" t="s">
        <v>36</v>
      </c>
      <c r="B2" s="29"/>
      <c r="C2" s="29"/>
    </row>
    <row r="3" customFormat="false" ht="9.75" hidden="false" customHeight="true" outlineLevel="0" collapsed="false"/>
    <row r="4" customFormat="false" ht="21.75" hidden="false" customHeight="true" outlineLevel="0" collapsed="false">
      <c r="A4" s="30" t="s">
        <v>37</v>
      </c>
      <c r="B4" s="30"/>
      <c r="C4" s="30"/>
    </row>
    <row r="5" customFormat="false" ht="37.5" hidden="false" customHeight="true" outlineLevel="0" collapsed="false">
      <c r="A5" s="31" t="s">
        <v>38</v>
      </c>
      <c r="B5" s="32" t="s">
        <v>39</v>
      </c>
      <c r="C5" s="33" t="n">
        <f aca="false">'3-Year Forecast'!C10</f>
        <v>24000</v>
      </c>
    </row>
    <row r="6" customFormat="false" ht="37.5" hidden="false" customHeight="true" outlineLevel="0" collapsed="false">
      <c r="A6" s="31" t="s">
        <v>38</v>
      </c>
      <c r="B6" s="34" t="s">
        <v>40</v>
      </c>
      <c r="C6" s="33" t="n">
        <f aca="false">'3-Year Forecast'!E10</f>
        <v>-65009.9999999999</v>
      </c>
    </row>
    <row r="7" customFormat="false" ht="37.5" hidden="false" customHeight="true" outlineLevel="0" collapsed="false">
      <c r="A7" s="31" t="s">
        <v>38</v>
      </c>
      <c r="B7" s="32" t="s">
        <v>41</v>
      </c>
      <c r="C7" s="33" t="n">
        <f aca="false">'3-Year Forecast'!E7</f>
        <v>760437.5</v>
      </c>
    </row>
    <row r="8" customFormat="false" ht="37.5" hidden="false" customHeight="true" outlineLevel="0" collapsed="false">
      <c r="A8" s="31" t="s">
        <v>38</v>
      </c>
      <c r="B8" s="34" t="s">
        <v>42</v>
      </c>
      <c r="C8" s="35" t="n">
        <f aca="false">'3-Year Forecast'!E12</f>
        <v>0.52</v>
      </c>
    </row>
    <row r="9" customFormat="false" ht="37.5" hidden="false" customHeight="true" outlineLevel="0" collapsed="false">
      <c r="A9" s="31" t="s">
        <v>38</v>
      </c>
      <c r="B9" s="32" t="s">
        <v>43</v>
      </c>
      <c r="C9" s="36"/>
    </row>
    <row r="10" customFormat="false" ht="9.75" hidden="false" customHeight="true" outlineLevel="0" collapsed="false"/>
    <row r="11" customFormat="false" ht="21.75" hidden="false" customHeight="true" outlineLevel="0" collapsed="false">
      <c r="A11" s="4" t="s">
        <v>44</v>
      </c>
      <c r="B11" s="4"/>
      <c r="C11" s="4"/>
    </row>
    <row r="12" customFormat="false" ht="36" hidden="false" customHeight="true" outlineLevel="0" collapsed="false">
      <c r="A12" s="37" t="s">
        <v>45</v>
      </c>
      <c r="B12" s="34" t="s">
        <v>46</v>
      </c>
      <c r="C12" s="38"/>
    </row>
    <row r="13" customFormat="false" ht="36" hidden="false" customHeight="true" outlineLevel="0" collapsed="false">
      <c r="A13" s="37" t="s">
        <v>47</v>
      </c>
      <c r="B13" s="32" t="s">
        <v>48</v>
      </c>
      <c r="C13" s="39"/>
    </row>
    <row r="14" customFormat="false" ht="36" hidden="false" customHeight="true" outlineLevel="0" collapsed="false">
      <c r="A14" s="37" t="s">
        <v>49</v>
      </c>
      <c r="B14" s="34" t="s">
        <v>50</v>
      </c>
      <c r="C14" s="38"/>
    </row>
    <row r="15" customFormat="false" ht="36" hidden="false" customHeight="true" outlineLevel="0" collapsed="false">
      <c r="A15" s="37" t="s">
        <v>51</v>
      </c>
      <c r="B15" s="32" t="s">
        <v>52</v>
      </c>
      <c r="C15" s="39"/>
    </row>
    <row r="16" customFormat="false" ht="9.75" hidden="false" customHeight="true" outlineLevel="0" collapsed="false"/>
    <row r="17" customFormat="false" ht="27.75" hidden="false" customHeight="true" outlineLevel="0" collapsed="false">
      <c r="A17" s="40" t="s">
        <v>53</v>
      </c>
      <c r="B17" s="40"/>
      <c r="C17" s="40"/>
    </row>
  </sheetData>
  <mergeCells count="5">
    <mergeCell ref="A1:C1"/>
    <mergeCell ref="A2:C2"/>
    <mergeCell ref="A4:C4"/>
    <mergeCell ref="A11:C11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2026-06-09T18:17:14Z</dcterms:created>
  <dc:creator>openpyxl</dc:creator>
  <dc:description/>
  <dc:language>en-US</dc:language>
  <cp:lastModifiedBy/>
  <dcterms:modified xsi:type="dcterms:W3CDTF">2026-06-09T18:17:21Z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